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Perfis" sheetId="2" state="visible" r:id="rId2"/>
  </sheets>
  <definedNames>
    <definedName name="salario">Simulador!$C$7</definedName>
    <definedName name="perc_investimento">Simulador!$C$8</definedName>
    <definedName name="sugestao_investimento">Simulador!$C$9</definedName>
    <definedName name="rendimento_carteira">Simulador!$C$10</definedName>
    <definedName name="aporte">Simulador!$C$13</definedName>
    <definedName name="qtd_anos">Simulador!$C$14</definedName>
    <definedName name="taxa_mensal">Simulador!$C$15</definedName>
    <definedName name="total_investido">Simulador!$C$16</definedName>
    <definedName name="patrimonio">Simulador!$C$17</definedName>
    <definedName name="ganho">Simulador!$C$18</definedName>
    <definedName name="dividendos_mensais">Simulador!$C$19</definedName>
    <definedName name="perfil">Simulador!$C$30</definedName>
    <definedName name="valor_mensal">Simulador!$C$31</definedName>
    <definedName name="tabela_perfis">Perfis!$A$4:$D$21</definedName>
    <definedName name="_xlnm.Print_Area" localSheetId="0">'Simulador'!$A$1:$N$42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R$-416] #,##0.00"/>
    <numFmt numFmtId="165" formatCode="0 &quot;anos&quot;"/>
    <numFmt numFmtId="166" formatCode="0.00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7A5B00"/>
      <sz val="9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1F4E9E"/>
      <sz val="10"/>
    </font>
    <font>
      <name val="Arial"/>
      <i val="1"/>
      <color rgb="006B7280"/>
      <sz val="9"/>
    </font>
    <font>
      <name val="Arial"/>
      <b val="1"/>
      <sz val="10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6B7280"/>
      <sz val="9"/>
    </font>
    <font>
      <name val="Arial"/>
      <b val="1"/>
      <sz val="9"/>
    </font>
    <font>
      <name val="Arial"/>
      <i val="1"/>
      <color rgb="006B7280"/>
      <sz val="8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B3C49"/>
      </patternFill>
    </fill>
    <fill>
      <patternFill patternType="solid">
        <fgColor rgb="00FFF2CC"/>
      </patternFill>
    </fill>
    <fill>
      <patternFill patternType="solid">
        <fgColor rgb="001B7F5A"/>
      </patternFill>
    </fill>
    <fill>
      <patternFill patternType="solid">
        <fgColor rgb="00F3F4F6"/>
      </patternFill>
    </fill>
    <fill>
      <patternFill patternType="solid">
        <fgColor rgb="00E3F4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vertical="center" indent="1"/>
    </xf>
    <xf numFmtId="164" fontId="6" fillId="3" borderId="1" applyAlignment="1" pivotButton="0" quotePrefix="0" xfId="0">
      <alignment horizontal="right" vertical="center" indent="1"/>
    </xf>
    <xf numFmtId="0" fontId="7" fillId="0" borderId="0" applyAlignment="1" pivotButton="0" quotePrefix="0" xfId="0">
      <alignment vertical="center" indent="1"/>
    </xf>
    <xf numFmtId="9" fontId="6" fillId="3" borderId="1" applyAlignment="1" pivotButton="0" quotePrefix="0" xfId="0">
      <alignment horizontal="right" vertical="center" indent="1"/>
    </xf>
    <xf numFmtId="164" fontId="5" fillId="0" borderId="1" applyAlignment="1" pivotButton="0" quotePrefix="0" xfId="0">
      <alignment horizontal="right" vertical="center" indent="1"/>
    </xf>
    <xf numFmtId="10" fontId="6" fillId="3" borderId="1" applyAlignment="1" pivotButton="0" quotePrefix="0" xfId="0">
      <alignment horizontal="right" vertical="center" indent="1"/>
    </xf>
    <xf numFmtId="165" fontId="6" fillId="3" borderId="1" applyAlignment="1" pivotButton="0" quotePrefix="0" xfId="0">
      <alignment horizontal="right" vertical="center" indent="1"/>
    </xf>
    <xf numFmtId="166" fontId="6" fillId="3" borderId="1" applyAlignment="1" pivotButton="0" quotePrefix="0" xfId="0">
      <alignment horizontal="right" vertical="center" indent="1"/>
    </xf>
    <xf numFmtId="0" fontId="8" fillId="6" borderId="1" applyAlignment="1" pivotButton="0" quotePrefix="0" xfId="0">
      <alignment vertical="center" indent="1"/>
    </xf>
    <xf numFmtId="164" fontId="9" fillId="6" borderId="1" applyAlignment="1" pivotButton="0" quotePrefix="0" xfId="0">
      <alignment horizontal="right" vertical="center" indent="1"/>
    </xf>
    <xf numFmtId="0" fontId="8" fillId="5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/>
    </xf>
    <xf numFmtId="164" fontId="5" fillId="0" borderId="1" applyAlignment="1" pivotButton="0" quotePrefix="0" xfId="0">
      <alignment horizontal="right" indent="1"/>
    </xf>
    <xf numFmtId="164" fontId="8" fillId="0" borderId="1" applyAlignment="1" pivotButton="0" quotePrefix="0" xfId="0">
      <alignment horizontal="right" indent="1"/>
    </xf>
    <xf numFmtId="49" fontId="6" fillId="3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left" vertical="center" indent="1"/>
    </xf>
    <xf numFmtId="9" fontId="11" fillId="0" borderId="1" applyAlignment="1" pivotButton="0" quotePrefix="0" xfId="0">
      <alignment horizontal="right" vertical="center" indent="1"/>
    </xf>
    <xf numFmtId="164" fontId="11" fillId="0" borderId="1" applyAlignment="1" pivotButton="0" quotePrefix="0" xfId="0">
      <alignment horizontal="right" vertical="center" indent="1"/>
    </xf>
    <xf numFmtId="49" fontId="12" fillId="0" borderId="1" applyAlignment="1" pivotButton="0" quotePrefix="0" xfId="0">
      <alignment horizontal="left" vertical="center" indent="1"/>
    </xf>
    <xf numFmtId="49" fontId="8" fillId="6" borderId="1" applyAlignment="1" pivotButton="0" quotePrefix="0" xfId="0">
      <alignment horizontal="left" vertical="center" indent="1"/>
    </xf>
    <xf numFmtId="9" fontId="8" fillId="6" borderId="1" applyAlignment="1" pivotButton="0" quotePrefix="0" xfId="0">
      <alignment horizontal="right" vertical="center" indent="1"/>
    </xf>
    <xf numFmtId="164" fontId="8" fillId="6" borderId="1" applyAlignment="1" pivotButton="0" quotePrefix="0" xfId="0">
      <alignment horizontal="right" vertical="center" indent="1"/>
    </xf>
    <xf numFmtId="49" fontId="13" fillId="6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15" fillId="4" borderId="1" applyAlignment="1" pivotButton="0" quotePrefix="0" xfId="0">
      <alignment horizontal="center"/>
    </xf>
    <xf numFmtId="0" fontId="12" fillId="0" borderId="1" pivotButton="0" quotePrefix="0" xfId="0"/>
    <xf numFmtId="0" fontId="11" fillId="0" borderId="1" pivotButton="0" quotePrefix="0" xfId="0"/>
    <xf numFmtId="9" fontId="6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Carteira sugerida por tipo de FII</a:t>
            </a:r>
          </a:p>
        </rich>
      </tx>
    </title>
    <plotArea>
      <pieChart>
        <varyColors val="1"/>
        <ser>
          <idx val="0"/>
          <order val="0"/>
          <tx>
            <strRef>
              <f>'Simulador'!C32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7F5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B3C49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2B13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4F9DD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4572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8E6C8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dLblPos val="outEnd"/>
            <showLegendKey val="0"/>
            <showVal val="0"/>
            <showCatName val="0"/>
            <showSerName val="0"/>
            <showPercent val="1"/>
            <showLeaderLines val="0"/>
          </dLbls>
          <cat>
            <numRef>
              <f>'Simulador'!$B$33:$B$38</f>
            </numRef>
          </cat>
          <val>
            <numRef>
              <f>'Simulador'!$C$33:$C$38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28</row>
      <rowOff>0</rowOff>
    </from>
    <ext cx="450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41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9" customWidth="1" min="3" max="3"/>
    <col width="19" customWidth="1" min="4" max="4"/>
    <col width="26" customWidth="1" min="5" max="5"/>
    <col width="3" customWidth="1" min="6" max="6"/>
  </cols>
  <sheetData>
    <row r="1" ht="8" customHeight="1"/>
    <row r="2" ht="36" customHeight="1">
      <c r="B2" s="1" t="inlineStr">
        <is>
          <t>SIMULADOR DE INVESTIMENTOS EM FUNDOS IMOBILIÁRIOS (FIIs)</t>
        </is>
      </c>
    </row>
    <row r="3" ht="20" customHeight="1">
      <c r="B3" s="2" t="inlineStr">
        <is>
          <t>Desafio de projeto DIO  •  Trilha Santander Excel 2026  •  Autor: Kaike Muniz</t>
        </is>
      </c>
    </row>
    <row r="4" ht="18" customHeight="1">
      <c r="B4" s="3" t="inlineStr">
        <is>
          <t>Como usar: preencha só as células AMARELAS. Todo o resto é calculado automaticamente.</t>
        </is>
      </c>
    </row>
    <row r="6" ht="22" customHeight="1">
      <c r="B6" s="4" t="inlineStr">
        <is>
          <t>1. CONFIGURAÇÕES</t>
        </is>
      </c>
    </row>
    <row r="7" ht="18" customHeight="1">
      <c r="B7" s="5" t="inlineStr">
        <is>
          <t>Salário mensal</t>
        </is>
      </c>
      <c r="C7" s="6" t="n">
        <v>2000</v>
      </c>
      <c r="D7" s="7" t="inlineStr">
        <is>
          <t>Sua renda mensal líquida</t>
        </is>
      </c>
    </row>
    <row r="8" ht="18" customHeight="1">
      <c r="B8" s="5" t="inlineStr">
        <is>
          <t>Percentual do salário para investir</t>
        </is>
      </c>
      <c r="C8" s="8" t="n">
        <v>0.3</v>
      </c>
      <c r="D8" s="7" t="inlineStr">
        <is>
          <t>Sugestão do curso: 30%</t>
        </is>
      </c>
    </row>
    <row r="9" ht="18" customHeight="1">
      <c r="B9" s="5" t="inlineStr">
        <is>
          <t>Sugestão de investimento mensal</t>
        </is>
      </c>
      <c r="C9" s="9">
        <f>salario*perc_investimento</f>
        <v>600</v>
      </c>
      <c r="D9" s="7" t="inlineStr">
        <is>
          <t>Salário × percentual</t>
        </is>
      </c>
    </row>
    <row r="10" ht="18" customHeight="1">
      <c r="B10" s="5" t="inlineStr">
        <is>
          <t>Rendimento mensal da carteira (dividendos)</t>
        </is>
      </c>
      <c r="C10" s="10" t="n">
        <v>0.006</v>
      </c>
      <c r="D10" s="7" t="inlineStr">
        <is>
          <t>Média mensal paga pelos FIIs</t>
        </is>
      </c>
    </row>
    <row r="12" ht="22" customHeight="1">
      <c r="B12" s="4" t="inlineStr">
        <is>
          <t>2. SIMULADOR DE PATRIMÔNIO</t>
        </is>
      </c>
    </row>
    <row r="13" ht="18" customHeight="1">
      <c r="B13" s="5" t="inlineStr">
        <is>
          <t>Quanto investir por mês?</t>
        </is>
      </c>
      <c r="C13" s="6" t="n">
        <v>200</v>
      </c>
      <c r="D13" s="7" t="str">
        <f>IF(aporte&gt;sugestao_investimento,"Atenção: acima da sugestão mensal","OK: dentro da sugestão mensal")</f>
        <v>OK: dentro da sugestão mensal</v>
      </c>
    </row>
    <row r="14" ht="18" customHeight="1">
      <c r="B14" s="5" t="inlineStr">
        <is>
          <t>Por quantos anos?</t>
        </is>
      </c>
      <c r="C14" s="11" t="n">
        <v>5</v>
      </c>
      <c r="D14" s="7" t="inlineStr">
        <is>
          <t>Prazo do investimento</t>
        </is>
      </c>
    </row>
    <row r="15" ht="18" customHeight="1">
      <c r="B15" s="5" t="inlineStr">
        <is>
          <t>Taxa de rendimento mensal</t>
        </is>
      </c>
      <c r="C15" s="12" t="n">
        <v>0.01079</v>
      </c>
      <c r="D15" s="7" t="inlineStr">
        <is>
          <t>Rentabilidade mensal esperada</t>
        </is>
      </c>
    </row>
    <row r="16" ht="18" customHeight="1">
      <c r="B16" s="5" t="inlineStr">
        <is>
          <t>Total investido (do seu bolso)</t>
        </is>
      </c>
      <c r="C16" s="9">
        <f>aporte*qtd_anos*12</f>
        <v>12000</v>
      </c>
      <c r="D16" s="7" t="inlineStr">
        <is>
          <t>Aporte × número de meses</t>
        </is>
      </c>
    </row>
    <row r="17" ht="18" customHeight="1">
      <c r="B17" s="13" t="inlineStr">
        <is>
          <t>Patrimônio acumulado</t>
        </is>
      </c>
      <c r="C17" s="14">
        <f>FV(taxa_mensal,qtd_anos*12,-aporte)</f>
        <v>16755.3827996975</v>
      </c>
      <c r="D17" s="7" t="inlineStr">
        <is>
          <t>Função VF (valor futuro)</t>
        </is>
      </c>
    </row>
    <row r="18" ht="18" customHeight="1">
      <c r="B18" s="5" t="inlineStr">
        <is>
          <t>Ganho com rendimentos</t>
        </is>
      </c>
      <c r="C18" s="9">
        <f>patrimonio-total_investido</f>
        <v>4755.38279969747</v>
      </c>
      <c r="D18" s="7" t="inlineStr">
        <is>
          <t>Patrimônio − total investido</t>
        </is>
      </c>
    </row>
    <row r="19" ht="18" customHeight="1">
      <c r="B19" s="13" t="inlineStr">
        <is>
          <t>Dividendos mensais estimados</t>
        </is>
      </c>
      <c r="C19" s="14">
        <f>patrimonio*rendimento_carteira</f>
        <v>100.532296798185</v>
      </c>
      <c r="D19" s="7" t="inlineStr">
        <is>
          <t>Patrimônio × rendimento da carteira</t>
        </is>
      </c>
    </row>
    <row r="21" ht="22" customHeight="1">
      <c r="B21" s="4" t="inlineStr">
        <is>
          <t>3. SIMULADOR DE CENÁRIOS</t>
        </is>
      </c>
    </row>
    <row r="22" ht="18" customHeight="1">
      <c r="B22" s="15" t="inlineStr">
        <is>
          <t>Prazo</t>
        </is>
      </c>
      <c r="C22" s="15" t="inlineStr">
        <is>
          <t>Total investido</t>
        </is>
      </c>
      <c r="D22" s="15" t="inlineStr">
        <is>
          <t>Patrimônio</t>
        </is>
      </c>
      <c r="E22" s="15" t="inlineStr">
        <is>
          <t>Dividendos por mês</t>
        </is>
      </c>
    </row>
    <row r="23" ht="18" customHeight="1">
      <c r="B23" s="16" t="n">
        <v>2</v>
      </c>
      <c r="C23" s="17">
        <f>$B23*12*aporte</f>
        <v>4800</v>
      </c>
      <c r="D23" s="18">
        <f>FV(taxa_mensal,$B23*12,-aporte)</f>
        <v>5445.52545952903</v>
      </c>
      <c r="E23" s="17">
        <f>D23*rendimento_carteira</f>
        <v>32.6731527571742</v>
      </c>
    </row>
    <row r="24" ht="18" customHeight="1">
      <c r="B24" s="16" t="n">
        <v>5</v>
      </c>
      <c r="C24" s="17">
        <f>$B24*12*aporte</f>
        <v>12000</v>
      </c>
      <c r="D24" s="18">
        <f>FV(taxa_mensal,$B24*12,-aporte)</f>
        <v>16755.3827996975</v>
      </c>
      <c r="E24" s="17">
        <f>D24*rendimento_carteira</f>
        <v>100.532296798185</v>
      </c>
    </row>
    <row r="25" ht="18" customHeight="1">
      <c r="B25" s="16" t="n">
        <v>10</v>
      </c>
      <c r="C25" s="17">
        <f>$B25*12*aporte</f>
        <v>24000</v>
      </c>
      <c r="D25" s="18">
        <f>FV(taxa_mensal,$B25*12,-aporte)</f>
        <v>48656.8425060342</v>
      </c>
      <c r="E25" s="17">
        <f>D25*rendimento_carteira</f>
        <v>291.941055036205</v>
      </c>
    </row>
    <row r="26" ht="18" customHeight="1">
      <c r="B26" s="16" t="n">
        <v>20</v>
      </c>
      <c r="C26" s="17">
        <f>$B26*12*aporte</f>
        <v>48000</v>
      </c>
      <c r="D26" s="18">
        <f>FV(taxa_mensal,$B26*12,-aporte)</f>
        <v>225039.680019415</v>
      </c>
      <c r="E26" s="17">
        <f>D26*rendimento_carteira</f>
        <v>1350.23808011649</v>
      </c>
    </row>
    <row r="27" ht="18" customHeight="1">
      <c r="B27" s="16" t="n">
        <v>30</v>
      </c>
      <c r="C27" s="17">
        <f>$B27*12*aporte</f>
        <v>72000</v>
      </c>
      <c r="D27" s="18">
        <f>FV(taxa_mensal,$B27*12,-aporte)</f>
        <v>864433.931000934</v>
      </c>
      <c r="E27" s="17">
        <f>D27*rendimento_carteira</f>
        <v>5186.60358600561</v>
      </c>
    </row>
    <row r="29" ht="22" customHeight="1">
      <c r="B29" s="4" t="inlineStr">
        <is>
          <t>4. CARTEIRA SUGERIDA POR PERFIL (TIPOS DE FII)</t>
        </is>
      </c>
    </row>
    <row r="30" ht="18" customHeight="1">
      <c r="B30" s="5" t="inlineStr">
        <is>
          <t>Perfil do investidor</t>
        </is>
      </c>
      <c r="C30" s="19" t="inlineStr">
        <is>
          <t>Moderado</t>
        </is>
      </c>
      <c r="D30" s="7" t="inlineStr">
        <is>
          <t>Escolha na lista: Conservador, Moderado ou Agressivo</t>
        </is>
      </c>
    </row>
    <row r="31" ht="18" customHeight="1">
      <c r="B31" s="5" t="inlineStr">
        <is>
          <t>Valor a investir por mês</t>
        </is>
      </c>
      <c r="C31" s="9">
        <f>aporte</f>
        <v>200</v>
      </c>
      <c r="D31" s="7" t="inlineStr">
        <is>
          <t>Vem do simulador de patrimônio</t>
        </is>
      </c>
    </row>
    <row r="32" ht="18" customHeight="1">
      <c r="B32" s="15" t="inlineStr">
        <is>
          <t>Tipo de FII</t>
        </is>
      </c>
      <c r="C32" s="15" t="inlineStr">
        <is>
          <t>% sugerido</t>
        </is>
      </c>
      <c r="D32" s="15" t="inlineStr">
        <is>
          <t>Valor por mês</t>
        </is>
      </c>
      <c r="E32" s="15" t="inlineStr">
        <is>
          <t>O que é</t>
        </is>
      </c>
    </row>
    <row r="33" ht="18" customHeight="1">
      <c r="B33" s="20" t="inlineStr">
        <is>
          <t>PAPEL</t>
        </is>
      </c>
      <c r="C33" s="21">
        <f>VLOOKUP(perfil&amp;"-"&amp;B33,tabela_perfis,4,FALSE)</f>
        <v>0.32</v>
      </c>
      <c r="D33" s="22">
        <f>C33*valor_mensal</f>
        <v>64</v>
      </c>
      <c r="E33" s="23" t="inlineStr">
        <is>
          <t>Títulos de dívida imobiliária (CRI)</t>
        </is>
      </c>
    </row>
    <row r="34" ht="18" customHeight="1">
      <c r="B34" s="20" t="inlineStr">
        <is>
          <t>TIJOLO</t>
        </is>
      </c>
      <c r="C34" s="21">
        <f>VLOOKUP(perfil&amp;"-"&amp;B34,tabela_perfis,4,FALSE)</f>
        <v>0.35</v>
      </c>
      <c r="D34" s="22">
        <f>C34*valor_mensal</f>
        <v>70</v>
      </c>
      <c r="E34" s="23" t="inlineStr">
        <is>
          <t>Imóveis físicos alugados</t>
        </is>
      </c>
    </row>
    <row r="35" ht="18" customHeight="1">
      <c r="B35" s="20" t="inlineStr">
        <is>
          <t>HÍBRIDOS</t>
        </is>
      </c>
      <c r="C35" s="21">
        <f>VLOOKUP(perfil&amp;"-"&amp;B35,tabela_perfis,4,FALSE)</f>
        <v>0.08</v>
      </c>
      <c r="D35" s="22">
        <f>C35*valor_mensal</f>
        <v>16</v>
      </c>
      <c r="E35" s="23" t="inlineStr">
        <is>
          <t>Mistura de papel e tijolo</t>
        </is>
      </c>
    </row>
    <row r="36" ht="18" customHeight="1">
      <c r="B36" s="20" t="inlineStr">
        <is>
          <t>FOFs</t>
        </is>
      </c>
      <c r="C36" s="21">
        <f>VLOOKUP(perfil&amp;"-"&amp;B36,tabela_perfis,4,FALSE)</f>
        <v>0.05</v>
      </c>
      <c r="D36" s="22">
        <f>C36*valor_mensal</f>
        <v>10</v>
      </c>
      <c r="E36" s="23" t="inlineStr">
        <is>
          <t>Fundo que investe em outros FIIs</t>
        </is>
      </c>
    </row>
    <row r="37" ht="18" customHeight="1">
      <c r="B37" s="20" t="inlineStr">
        <is>
          <t>DESENVOLVIMENTO</t>
        </is>
      </c>
      <c r="C37" s="21">
        <f>VLOOKUP(perfil&amp;"-"&amp;B37,tabela_perfis,4,FALSE)</f>
        <v>0.1</v>
      </c>
      <c r="D37" s="22">
        <f>C37*valor_mensal</f>
        <v>20</v>
      </c>
      <c r="E37" s="23" t="inlineStr">
        <is>
          <t>Construção de imóveis</t>
        </is>
      </c>
    </row>
    <row r="38" ht="18" customHeight="1">
      <c r="B38" s="20" t="inlineStr">
        <is>
          <t>HOTELARIAS</t>
        </is>
      </c>
      <c r="C38" s="21">
        <f>VLOOKUP(perfil&amp;"-"&amp;B38,tabela_perfis,4,FALSE)</f>
        <v>0.1</v>
      </c>
      <c r="D38" s="22">
        <f>C38*valor_mensal</f>
        <v>20</v>
      </c>
      <c r="E38" s="23" t="inlineStr">
        <is>
          <t>Hotéis e flats</t>
        </is>
      </c>
    </row>
    <row r="39" ht="20" customHeight="1">
      <c r="B39" s="24" t="inlineStr">
        <is>
          <t>TOTAL</t>
        </is>
      </c>
      <c r="C39" s="25">
        <f>SUM(C33:C38)</f>
        <v>1</v>
      </c>
      <c r="D39" s="26">
        <f>SUM(D33:D38)</f>
        <v>200</v>
      </c>
      <c r="E39" s="27" t="str">
        <f>IF(ROUND(C39,4)=1,"OK: soma 100%","Revisar: soma diferente de 100%")</f>
        <v>OK: soma 100%</v>
      </c>
    </row>
    <row r="41" ht="24" customHeight="1">
      <c r="B41" s="28" t="inlineStr">
        <is>
          <t>Simulação com fins educacionais. Taxas e dividendos são estimativas e podem variar; isto não é recomendação de investimento.</t>
        </is>
      </c>
    </row>
  </sheetData>
  <mergeCells count="21">
    <mergeCell ref="D10:E10"/>
    <mergeCell ref="D19:E19"/>
    <mergeCell ref="B6:E6"/>
    <mergeCell ref="D31:E31"/>
    <mergeCell ref="B41:E41"/>
    <mergeCell ref="B4:E4"/>
    <mergeCell ref="D13:E13"/>
    <mergeCell ref="B3:E3"/>
    <mergeCell ref="D17:E17"/>
    <mergeCell ref="D16:E16"/>
    <mergeCell ref="D7:E7"/>
    <mergeCell ref="B12:E12"/>
    <mergeCell ref="B21:E21"/>
    <mergeCell ref="B2:E2"/>
    <mergeCell ref="D18:E18"/>
    <mergeCell ref="D9:E9"/>
    <mergeCell ref="D8:E8"/>
    <mergeCell ref="D30:E30"/>
    <mergeCell ref="D15:E15"/>
    <mergeCell ref="B29:E29"/>
    <mergeCell ref="D14:E14"/>
  </mergeCells>
  <dataValidations count="4">
    <dataValidation sqref="C30" showDropDown="0" showInputMessage="0" showErrorMessage="1" allowBlank="0" errorTitle="Perfil inválido" error="Escolha Conservador, Moderado ou Agressivo." type="list">
      <formula1>"Conservador,Moderado,Agressivo"</formula1>
    </dataValidation>
    <dataValidation sqref="B23:B27 C14" showDropDown="0" showInputMessage="0" showErrorMessage="1" allowBlank="0" errorTitle="Prazo inválido" error="Digite um número inteiro de 1 a 50 anos." type="whole" operator="between">
      <formula1>1</formula1>
      <formula2>50</formula2>
    </dataValidation>
    <dataValidation sqref="C8 C10 C15" showDropDown="0" showInputMessage="0" showErrorMessage="1" allowBlank="0" errorTitle="Percentual inválido" error="Digite um percentual entre 0% e 100%." type="decimal" operator="between">
      <formula1>0</formula1>
      <formula2>1</formula2>
    </dataValidation>
    <dataValidation sqref="C7 C13" showDropDown="0" showInputMessage="0" showErrorMessage="1" allowBlank="0" errorTitle="Valor inválido" error="Digite um valor maior ou igual a zero." type="decimal" operator="greaterThanOrEqual">
      <formula1>0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0" customWidth="1" min="3" max="3"/>
    <col width="14" customWidth="1" min="4" max="4"/>
    <col width="3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29" t="inlineStr">
        <is>
          <t>BASE DE PERFIS — % sugerido por tipo de FII</t>
        </is>
      </c>
    </row>
    <row r="2">
      <c r="A2" s="30" t="inlineStr">
        <is>
          <t>A coluna CHAVE junta PERFIL + TIPO (ex.: Moderado-TIJOLO) e é usada pelo PROCV da aba Simulador. Edite só a coluna %.</t>
        </is>
      </c>
    </row>
    <row r="3">
      <c r="A3" s="31" t="inlineStr">
        <is>
          <t>CHAVE</t>
        </is>
      </c>
      <c r="B3" s="31" t="inlineStr">
        <is>
          <t>PERFIL</t>
        </is>
      </c>
      <c r="C3" s="31" t="inlineStr">
        <is>
          <t>TIPO DE FII</t>
        </is>
      </c>
      <c r="D3" s="31" t="inlineStr">
        <is>
          <t>%</t>
        </is>
      </c>
      <c r="F3" s="31" t="inlineStr">
        <is>
          <t>PERFIL</t>
        </is>
      </c>
      <c r="G3" s="31" t="inlineStr">
        <is>
          <t>SOMA DOS %</t>
        </is>
      </c>
      <c r="H3" s="31" t="inlineStr">
        <is>
          <t>STATUS</t>
        </is>
      </c>
    </row>
    <row r="4">
      <c r="A4" s="32" t="str">
        <f>B4&amp;"-"&amp;C4</f>
        <v>Conservador-PAPEL</v>
      </c>
      <c r="B4" s="33" t="inlineStr">
        <is>
          <t>Conservador</t>
        </is>
      </c>
      <c r="C4" s="33" t="inlineStr">
        <is>
          <t>PAPEL</t>
        </is>
      </c>
      <c r="D4" s="34" t="n">
        <v>0.3</v>
      </c>
      <c r="F4" s="35" t="inlineStr">
        <is>
          <t>Conservador</t>
        </is>
      </c>
      <c r="G4" s="36">
        <f>SUMIF($B$4:$B$21,F4,$D$4:$D$21)</f>
        <v>1</v>
      </c>
      <c r="H4" s="37" t="str">
        <f>IF(ROUND(G4,4)=1,"OK","Revisar")</f>
        <v>OK</v>
      </c>
    </row>
    <row r="5">
      <c r="A5" s="32" t="str">
        <f>B5&amp;"-"&amp;C5</f>
        <v>Conservador-TIJOLO</v>
      </c>
      <c r="B5" s="33" t="inlineStr">
        <is>
          <t>Conservador</t>
        </is>
      </c>
      <c r="C5" s="33" t="inlineStr">
        <is>
          <t>TIJOLO</t>
        </is>
      </c>
      <c r="D5" s="34" t="n">
        <v>0.5</v>
      </c>
      <c r="F5" s="35" t="inlineStr">
        <is>
          <t>Moderado</t>
        </is>
      </c>
      <c r="G5" s="36">
        <f>SUMIF($B$4:$B$21,F5,$D$4:$D$21)</f>
        <v>1</v>
      </c>
      <c r="H5" s="37" t="str">
        <f>IF(ROUND(G5,4)=1,"OK","Revisar")</f>
        <v>OK</v>
      </c>
    </row>
    <row r="6">
      <c r="A6" s="32" t="str">
        <f>B6&amp;"-"&amp;C6</f>
        <v>Conservador-HÍBRIDOS</v>
      </c>
      <c r="B6" s="33" t="inlineStr">
        <is>
          <t>Conservador</t>
        </is>
      </c>
      <c r="C6" s="33" t="inlineStr">
        <is>
          <t>HÍBRIDOS</t>
        </is>
      </c>
      <c r="D6" s="34" t="n">
        <v>0.1</v>
      </c>
      <c r="F6" s="35" t="inlineStr">
        <is>
          <t>Agressivo</t>
        </is>
      </c>
      <c r="G6" s="36">
        <f>SUMIF($B$4:$B$21,F6,$D$4:$D$21)</f>
        <v>1</v>
      </c>
      <c r="H6" s="37" t="str">
        <f>IF(ROUND(G6,4)=1,"OK","Revisar")</f>
        <v>OK</v>
      </c>
    </row>
    <row r="7">
      <c r="A7" s="32" t="str">
        <f>B7&amp;"-"&amp;C7</f>
        <v>Conservador-FOFs</v>
      </c>
      <c r="B7" s="33" t="inlineStr">
        <is>
          <t>Conservador</t>
        </is>
      </c>
      <c r="C7" s="33" t="inlineStr">
        <is>
          <t>FOFs</t>
        </is>
      </c>
      <c r="D7" s="34" t="n">
        <v>0.1</v>
      </c>
    </row>
    <row r="8">
      <c r="A8" s="32" t="str">
        <f>B8&amp;"-"&amp;C8</f>
        <v>Conservador-DESENVOLVIMENTO</v>
      </c>
      <c r="B8" s="33" t="inlineStr">
        <is>
          <t>Conservador</t>
        </is>
      </c>
      <c r="C8" s="33" t="inlineStr">
        <is>
          <t>DESENVOLVIMENTO</t>
        </is>
      </c>
      <c r="D8" s="34" t="n">
        <v>0</v>
      </c>
    </row>
    <row r="9">
      <c r="A9" s="32" t="str">
        <f>B9&amp;"-"&amp;C9</f>
        <v>Conservador-HOTELARIAS</v>
      </c>
      <c r="B9" s="33" t="inlineStr">
        <is>
          <t>Conservador</t>
        </is>
      </c>
      <c r="C9" s="33" t="inlineStr">
        <is>
          <t>HOTELARIAS</t>
        </is>
      </c>
      <c r="D9" s="34" t="n">
        <v>0</v>
      </c>
    </row>
    <row r="10">
      <c r="A10" s="32" t="str">
        <f>B10&amp;"-"&amp;C10</f>
        <v>Moderado-PAPEL</v>
      </c>
      <c r="B10" s="33" t="inlineStr">
        <is>
          <t>Moderado</t>
        </is>
      </c>
      <c r="C10" s="33" t="inlineStr">
        <is>
          <t>PAPEL</t>
        </is>
      </c>
      <c r="D10" s="34" t="n">
        <v>0.32</v>
      </c>
    </row>
    <row r="11">
      <c r="A11" s="32" t="str">
        <f>B11&amp;"-"&amp;C11</f>
        <v>Moderado-TIJOLO</v>
      </c>
      <c r="B11" s="33" t="inlineStr">
        <is>
          <t>Moderado</t>
        </is>
      </c>
      <c r="C11" s="33" t="inlineStr">
        <is>
          <t>TIJOLO</t>
        </is>
      </c>
      <c r="D11" s="34" t="n">
        <v>0.35</v>
      </c>
    </row>
    <row r="12">
      <c r="A12" s="32" t="str">
        <f>B12&amp;"-"&amp;C12</f>
        <v>Moderado-HÍBRIDOS</v>
      </c>
      <c r="B12" s="33" t="inlineStr">
        <is>
          <t>Moderado</t>
        </is>
      </c>
      <c r="C12" s="33" t="inlineStr">
        <is>
          <t>HÍBRIDOS</t>
        </is>
      </c>
      <c r="D12" s="34" t="n">
        <v>0.08</v>
      </c>
    </row>
    <row r="13">
      <c r="A13" s="32" t="str">
        <f>B13&amp;"-"&amp;C13</f>
        <v>Moderado-FOFs</v>
      </c>
      <c r="B13" s="33" t="inlineStr">
        <is>
          <t>Moderado</t>
        </is>
      </c>
      <c r="C13" s="33" t="inlineStr">
        <is>
          <t>FOFs</t>
        </is>
      </c>
      <c r="D13" s="34" t="n">
        <v>0.05</v>
      </c>
    </row>
    <row r="14">
      <c r="A14" s="32" t="str">
        <f>B14&amp;"-"&amp;C14</f>
        <v>Moderado-DESENVOLVIMENTO</v>
      </c>
      <c r="B14" s="33" t="inlineStr">
        <is>
          <t>Moderado</t>
        </is>
      </c>
      <c r="C14" s="33" t="inlineStr">
        <is>
          <t>DESENVOLVIMENTO</t>
        </is>
      </c>
      <c r="D14" s="34" t="n">
        <v>0.1</v>
      </c>
    </row>
    <row r="15">
      <c r="A15" s="32" t="str">
        <f>B15&amp;"-"&amp;C15</f>
        <v>Moderado-HOTELARIAS</v>
      </c>
      <c r="B15" s="33" t="inlineStr">
        <is>
          <t>Moderado</t>
        </is>
      </c>
      <c r="C15" s="33" t="inlineStr">
        <is>
          <t>HOTELARIAS</t>
        </is>
      </c>
      <c r="D15" s="34" t="n">
        <v>0.1</v>
      </c>
    </row>
    <row r="16">
      <c r="A16" s="32" t="str">
        <f>B16&amp;"-"&amp;C16</f>
        <v>Agressivo-PAPEL</v>
      </c>
      <c r="B16" s="33" t="inlineStr">
        <is>
          <t>Agressivo</t>
        </is>
      </c>
      <c r="C16" s="33" t="inlineStr">
        <is>
          <t>PAPEL</t>
        </is>
      </c>
      <c r="D16" s="34" t="n">
        <v>0.5</v>
      </c>
    </row>
    <row r="17">
      <c r="A17" s="32" t="str">
        <f>B17&amp;"-"&amp;C17</f>
        <v>Agressivo-TIJOLO</v>
      </c>
      <c r="B17" s="33" t="inlineStr">
        <is>
          <t>Agressivo</t>
        </is>
      </c>
      <c r="C17" s="33" t="inlineStr">
        <is>
          <t>TIJOLO</t>
        </is>
      </c>
      <c r="D17" s="34" t="n">
        <v>0.1</v>
      </c>
    </row>
    <row r="18">
      <c r="A18" s="32" t="str">
        <f>B18&amp;"-"&amp;C18</f>
        <v>Agressivo-HÍBRIDOS</v>
      </c>
      <c r="B18" s="33" t="inlineStr">
        <is>
          <t>Agressivo</t>
        </is>
      </c>
      <c r="C18" s="33" t="inlineStr">
        <is>
          <t>HÍBRIDOS</t>
        </is>
      </c>
      <c r="D18" s="34" t="n">
        <v>0.05</v>
      </c>
    </row>
    <row r="19">
      <c r="A19" s="32" t="str">
        <f>B19&amp;"-"&amp;C19</f>
        <v>Agressivo-FOFs</v>
      </c>
      <c r="B19" s="33" t="inlineStr">
        <is>
          <t>Agressivo</t>
        </is>
      </c>
      <c r="C19" s="33" t="inlineStr">
        <is>
          <t>FOFs</t>
        </is>
      </c>
      <c r="D19" s="34" t="n">
        <v>0.05</v>
      </c>
    </row>
    <row r="20">
      <c r="A20" s="32" t="str">
        <f>B20&amp;"-"&amp;C20</f>
        <v>Agressivo-DESENVOLVIMENTO</v>
      </c>
      <c r="B20" s="33" t="inlineStr">
        <is>
          <t>Agressivo</t>
        </is>
      </c>
      <c r="C20" s="33" t="inlineStr">
        <is>
          <t>DESENVOLVIMENTO</t>
        </is>
      </c>
      <c r="D20" s="34" t="n">
        <v>0.2</v>
      </c>
    </row>
    <row r="21">
      <c r="A21" s="32" t="str">
        <f>B21&amp;"-"&amp;C21</f>
        <v>Agressivo-HOTELARIAS</v>
      </c>
      <c r="B21" s="33" t="inlineStr">
        <is>
          <t>Agressivo</t>
        </is>
      </c>
      <c r="C21" s="33" t="inlineStr">
        <is>
          <t>HOTELARIAS</t>
        </is>
      </c>
      <c r="D21" s="34" t="n">
        <v>0.1</v>
      </c>
    </row>
  </sheetData>
  <mergeCells count="1">
    <mergeCell ref="A1:D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Kaike Muniz</dc:creator>
  <dc:title xmlns:dc="http://purl.org/dc/elements/1.1/">Simulador de Investimentos em FIIs</dc:title>
  <dcterms:created xmlns:dcterms="http://purl.org/dc/terms/" xmlns:xsi="http://www.w3.org/2001/XMLSchema-instance" xsi:type="dcterms:W3CDTF">2026-09-28T17:39:12Z</dcterms:created>
  <dcterms:modified xmlns:dcterms="http://purl.org/dc/terms/" xmlns:xsi="http://www.w3.org/2001/XMLSchema-instance" xsi:type="dcterms:W3CDTF">2026-09-28T17:39:12Z</dcterms:modified>
</cp:coreProperties>
</file>